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rry univ 3 fall\資訊工程專題\MyReStraV\"/>
    </mc:Choice>
  </mc:AlternateContent>
  <xr:revisionPtr revIDLastSave="0" documentId="13_ncr:1_{C8534B19-44E8-434D-9BA8-42C33437512C}" xr6:coauthVersionLast="47" xr6:coauthVersionMax="47" xr10:uidLastSave="{00000000-0000-0000-0000-000000000000}"/>
  <bookViews>
    <workbookView xWindow="-120" yWindow="-120" windowWidth="29040" windowHeight="15720" xr2:uid="{05AB7D64-A468-42E7-95FA-F2D5B1FDA5E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2" i="1" l="1"/>
  <c r="J62" i="1"/>
  <c r="C62" i="1"/>
  <c r="AL62" i="1"/>
  <c r="AK62" i="1"/>
  <c r="AO61" i="1"/>
  <c r="AO62" i="1" s="1"/>
  <c r="AO60" i="1"/>
  <c r="AS62" i="1"/>
  <c r="AR62" i="1"/>
  <c r="AV61" i="1"/>
  <c r="AV60" i="1"/>
  <c r="AE62" i="1"/>
  <c r="AD62" i="1"/>
  <c r="AH61" i="1"/>
  <c r="AH62" i="1" s="1"/>
  <c r="AH60" i="1"/>
  <c r="X62" i="1"/>
  <c r="W62" i="1"/>
  <c r="AA61" i="1"/>
  <c r="AA60" i="1"/>
  <c r="I62" i="1"/>
  <c r="B62" i="1"/>
  <c r="F61" i="1"/>
  <c r="F60" i="1"/>
  <c r="P62" i="1"/>
  <c r="T61" i="1"/>
  <c r="T60" i="1"/>
  <c r="M61" i="1"/>
  <c r="M60" i="1"/>
  <c r="E32" i="1"/>
  <c r="D32" i="1"/>
  <c r="C32" i="1"/>
  <c r="B32" i="1"/>
  <c r="F31" i="1"/>
  <c r="F30" i="1"/>
  <c r="M46" i="1"/>
  <c r="M45" i="1"/>
  <c r="K47" i="1"/>
  <c r="J47" i="1"/>
  <c r="M31" i="1"/>
  <c r="M30" i="1"/>
  <c r="L32" i="1"/>
  <c r="K32" i="1"/>
  <c r="J32" i="1"/>
  <c r="I32" i="1"/>
  <c r="J25" i="1"/>
  <c r="K25" i="1"/>
  <c r="L25" i="1"/>
  <c r="I25" i="1"/>
  <c r="L23" i="1"/>
  <c r="K23" i="1"/>
  <c r="J23" i="1"/>
  <c r="I23" i="1"/>
  <c r="M22" i="1"/>
  <c r="M23" i="1" s="1"/>
  <c r="M21" i="1"/>
  <c r="L20" i="1"/>
  <c r="K20" i="1"/>
  <c r="J20" i="1"/>
  <c r="I20" i="1"/>
  <c r="M19" i="1"/>
  <c r="M18" i="1"/>
  <c r="D25" i="1"/>
  <c r="E23" i="1"/>
  <c r="D23" i="1"/>
  <c r="C23" i="1"/>
  <c r="B23" i="1"/>
  <c r="F22" i="1"/>
  <c r="F21" i="1"/>
  <c r="E20" i="1"/>
  <c r="E25" i="1" s="1"/>
  <c r="D20" i="1"/>
  <c r="C20" i="1"/>
  <c r="B20" i="1"/>
  <c r="F19" i="1"/>
  <c r="F18" i="1"/>
  <c r="C17" i="1"/>
  <c r="C25" i="1" s="1"/>
  <c r="D17" i="1"/>
  <c r="E17" i="1"/>
  <c r="B17" i="1"/>
  <c r="B25" i="1" s="1"/>
  <c r="F16" i="1"/>
  <c r="F17" i="1" s="1"/>
  <c r="F15" i="1"/>
  <c r="J17" i="1"/>
  <c r="K17" i="1"/>
  <c r="L17" i="1"/>
  <c r="I17" i="1"/>
  <c r="M15" i="1"/>
  <c r="M16" i="1"/>
  <c r="M62" i="1" l="1"/>
  <c r="AV62" i="1"/>
  <c r="AA62" i="1"/>
  <c r="F20" i="1"/>
  <c r="F25" i="1" s="1"/>
  <c r="M20" i="1"/>
  <c r="F23" i="1"/>
  <c r="F62" i="1"/>
  <c r="T62" i="1"/>
  <c r="F32" i="1"/>
  <c r="M32" i="1"/>
  <c r="M47" i="1"/>
  <c r="M17" i="1"/>
  <c r="M25" i="1" s="1"/>
</calcChain>
</file>

<file path=xl/sharedStrings.xml><?xml version="1.0" encoding="utf-8"?>
<sst xmlns="http://schemas.openxmlformats.org/spreadsheetml/2006/main" count="113" uniqueCount="25">
  <si>
    <t>Pika</t>
    <phoneticPr fontId="1" type="noConversion"/>
  </si>
  <si>
    <t>VC2</t>
    <phoneticPr fontId="1" type="noConversion"/>
  </si>
  <si>
    <t>T2VZ</t>
    <phoneticPr fontId="1" type="noConversion"/>
  </si>
  <si>
    <t>MS</t>
    <phoneticPr fontId="1" type="noConversion"/>
  </si>
  <si>
    <t>Avg</t>
    <phoneticPr fontId="1" type="noConversion"/>
  </si>
  <si>
    <t>論文內</t>
    <phoneticPr fontId="1" type="noConversion"/>
  </si>
  <si>
    <t>ACC</t>
    <phoneticPr fontId="1" type="noConversion"/>
  </si>
  <si>
    <t>Total</t>
    <phoneticPr fontId="1" type="noConversion"/>
  </si>
  <si>
    <t>number</t>
    <phoneticPr fontId="1" type="noConversion"/>
  </si>
  <si>
    <t>correct</t>
    <phoneticPr fontId="1" type="noConversion"/>
  </si>
  <si>
    <t>Samples(實測)</t>
    <phoneticPr fontId="1" type="noConversion"/>
  </si>
  <si>
    <t>Samples(31維)</t>
    <phoneticPr fontId="1" type="noConversion"/>
  </si>
  <si>
    <t>three times avg</t>
    <phoneticPr fontId="1" type="noConversion"/>
  </si>
  <si>
    <t>Samples(two_h5_thesis_set)</t>
    <phoneticPr fontId="1" type="noConversion"/>
  </si>
  <si>
    <t>Samples(two_h5_unseen_set)</t>
    <phoneticPr fontId="1" type="noConversion"/>
  </si>
  <si>
    <t>Samples(two_h5_thesis_set_31dim)</t>
    <phoneticPr fontId="1" type="noConversion"/>
  </si>
  <si>
    <t>Sora</t>
    <phoneticPr fontId="1" type="noConversion"/>
  </si>
  <si>
    <t>Samples(two_h5_future_set_25_dim)</t>
    <phoneticPr fontId="1" type="noConversion"/>
  </si>
  <si>
    <t>Samples(two_h5_future_set_31_dim)</t>
    <phoneticPr fontId="1" type="noConversion"/>
  </si>
  <si>
    <t>Samples(two_h5_future_set_22_dim)</t>
    <phoneticPr fontId="1" type="noConversion"/>
  </si>
  <si>
    <t>Samples(two_h5_future_set_17_dim)</t>
    <phoneticPr fontId="1" type="noConversion"/>
  </si>
  <si>
    <t>Samples(two_h5_future_set_8_dim)</t>
    <phoneticPr fontId="1" type="noConversion"/>
  </si>
  <si>
    <t>REAL</t>
    <phoneticPr fontId="1" type="noConversion"/>
  </si>
  <si>
    <t>Samples(two_h5_future_set_21dim(original))</t>
    <phoneticPr fontId="1" type="noConversion"/>
  </si>
  <si>
    <t>Samples(two_h5_future_set_13_dim)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</si>
</sst>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4DEF-FE45-489B-B4F7-DB0202A7BB22}">
  <dimension ref="A1:AV62"/>
  <sheetViews>
    <sheetView tabSelected="1" topLeftCell="C30" zoomScaleNormal="100" workbookViewId="0">
      <selection activeCell="S47" sqref="S47"/>
    </sheetView>
  </sheetViews>
  <sheetFormatPr defaultRowHeight="16.5" x14ac:dyDescent="0.25"/>
  <cols>
    <col min="1" max="1" width="15.125" customWidth="1"/>
    <col min="8" max="8" width="20.125" customWidth="1"/>
    <col min="15" max="15" width="17.5" customWidth="1"/>
    <col min="22" max="22" width="17.875" customWidth="1"/>
  </cols>
  <sheetData>
    <row r="1" spans="1:20" x14ac:dyDescent="0.25">
      <c r="B1" s="1" t="s">
        <v>6</v>
      </c>
      <c r="C1" s="1"/>
      <c r="D1" s="1"/>
      <c r="E1" s="1"/>
      <c r="F1" s="1"/>
    </row>
    <row r="2" spans="1:2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20" x14ac:dyDescent="0.25">
      <c r="A3" t="s">
        <v>5</v>
      </c>
      <c r="B3">
        <v>0.90900000000000003</v>
      </c>
      <c r="C3">
        <v>0.995</v>
      </c>
      <c r="D3">
        <v>0.99050000000000005</v>
      </c>
      <c r="E3">
        <v>0.98370000000000002</v>
      </c>
      <c r="F3">
        <v>0.97060000000000002</v>
      </c>
    </row>
    <row r="13" spans="1:20" x14ac:dyDescent="0.25">
      <c r="B13" s="1" t="s">
        <v>11</v>
      </c>
      <c r="C13" s="1"/>
      <c r="D13" s="1"/>
      <c r="E13" s="1"/>
      <c r="F13" s="1"/>
      <c r="I13" s="1" t="s">
        <v>10</v>
      </c>
      <c r="J13" s="1"/>
      <c r="K13" s="1"/>
      <c r="L13" s="1"/>
      <c r="M13" s="1"/>
      <c r="P13" s="1"/>
      <c r="Q13" s="1"/>
      <c r="R13" s="1"/>
      <c r="S13" s="1"/>
      <c r="T13" s="1"/>
    </row>
    <row r="14" spans="1:20" x14ac:dyDescent="0.25">
      <c r="B14" t="s">
        <v>0</v>
      </c>
      <c r="C14" t="s">
        <v>1</v>
      </c>
      <c r="D14" t="s">
        <v>2</v>
      </c>
      <c r="E14" t="s">
        <v>3</v>
      </c>
      <c r="F14" t="s">
        <v>7</v>
      </c>
      <c r="I14" t="s">
        <v>0</v>
      </c>
      <c r="J14" t="s">
        <v>1</v>
      </c>
      <c r="K14" t="s">
        <v>2</v>
      </c>
      <c r="L14" t="s">
        <v>3</v>
      </c>
      <c r="M14" t="s">
        <v>7</v>
      </c>
    </row>
    <row r="15" spans="1:20" x14ac:dyDescent="0.25">
      <c r="A15" t="s">
        <v>8</v>
      </c>
      <c r="B15">
        <v>5047</v>
      </c>
      <c r="C15">
        <v>4965</v>
      </c>
      <c r="D15">
        <v>5085</v>
      </c>
      <c r="E15">
        <v>4899</v>
      </c>
      <c r="F15">
        <f>SUM(B15:E15)</f>
        <v>19996</v>
      </c>
      <c r="H15" t="s">
        <v>8</v>
      </c>
      <c r="I15">
        <v>5047</v>
      </c>
      <c r="J15">
        <v>4965</v>
      </c>
      <c r="K15">
        <v>5085</v>
      </c>
      <c r="L15">
        <v>4899</v>
      </c>
      <c r="M15">
        <f>SUM(I15:L15)</f>
        <v>19996</v>
      </c>
    </row>
    <row r="16" spans="1:20" x14ac:dyDescent="0.25">
      <c r="A16" t="s">
        <v>9</v>
      </c>
      <c r="B16">
        <v>4665</v>
      </c>
      <c r="C16">
        <v>4958</v>
      </c>
      <c r="D16">
        <v>5085</v>
      </c>
      <c r="E16">
        <v>4896</v>
      </c>
      <c r="F16">
        <f>SUM(B16:E16)</f>
        <v>19604</v>
      </c>
      <c r="H16" t="s">
        <v>9</v>
      </c>
      <c r="I16">
        <v>4676</v>
      </c>
      <c r="J16">
        <v>4944</v>
      </c>
      <c r="K16">
        <v>5085</v>
      </c>
      <c r="L16">
        <v>4894</v>
      </c>
      <c r="M16">
        <f>SUM(I16:L16)</f>
        <v>19599</v>
      </c>
    </row>
    <row r="17" spans="1:13" x14ac:dyDescent="0.25">
      <c r="A17" t="s">
        <v>6</v>
      </c>
      <c r="B17">
        <f>B16/B15</f>
        <v>0.92431147216168019</v>
      </c>
      <c r="C17">
        <f t="shared" ref="C17:F17" si="0">C16/C15</f>
        <v>0.99859013091641491</v>
      </c>
      <c r="D17">
        <f t="shared" si="0"/>
        <v>1</v>
      </c>
      <c r="E17">
        <f t="shared" si="0"/>
        <v>0.99938763012859766</v>
      </c>
      <c r="F17">
        <f t="shared" si="0"/>
        <v>0.98039607921584315</v>
      </c>
      <c r="H17" t="s">
        <v>6</v>
      </c>
      <c r="I17">
        <f>I16/I15</f>
        <v>0.92649098474341196</v>
      </c>
      <c r="J17">
        <f t="shared" ref="J17:M17" si="1">J16/J15</f>
        <v>0.99577039274924473</v>
      </c>
      <c r="K17">
        <f t="shared" si="1"/>
        <v>1</v>
      </c>
      <c r="L17">
        <f t="shared" si="1"/>
        <v>0.9989793835476628</v>
      </c>
      <c r="M17">
        <f t="shared" si="1"/>
        <v>0.98014602920584115</v>
      </c>
    </row>
    <row r="18" spans="1:13" x14ac:dyDescent="0.25">
      <c r="A18" t="s">
        <v>8</v>
      </c>
      <c r="B18">
        <v>5047</v>
      </c>
      <c r="C18">
        <v>4965</v>
      </c>
      <c r="D18">
        <v>5085</v>
      </c>
      <c r="E18">
        <v>4899</v>
      </c>
      <c r="F18">
        <f>SUM(B18:E18)</f>
        <v>19996</v>
      </c>
      <c r="H18" t="s">
        <v>8</v>
      </c>
      <c r="I18">
        <v>5047</v>
      </c>
      <c r="J18">
        <v>4965</v>
      </c>
      <c r="K18">
        <v>5085</v>
      </c>
      <c r="L18">
        <v>4899</v>
      </c>
      <c r="M18">
        <f>SUM(I18:L18)</f>
        <v>19996</v>
      </c>
    </row>
    <row r="19" spans="1:13" x14ac:dyDescent="0.25">
      <c r="A19" t="s">
        <v>9</v>
      </c>
      <c r="B19">
        <v>4756</v>
      </c>
      <c r="C19">
        <v>4908</v>
      </c>
      <c r="D19">
        <v>5085</v>
      </c>
      <c r="E19">
        <v>4852</v>
      </c>
      <c r="F19">
        <f>SUM(B19:E19)</f>
        <v>19601</v>
      </c>
      <c r="H19" t="s">
        <v>9</v>
      </c>
      <c r="I19">
        <v>4727</v>
      </c>
      <c r="J19">
        <v>4962</v>
      </c>
      <c r="K19">
        <v>5085</v>
      </c>
      <c r="L19">
        <v>4899</v>
      </c>
      <c r="M19">
        <f>SUM(I19:L19)</f>
        <v>19673</v>
      </c>
    </row>
    <row r="20" spans="1:13" x14ac:dyDescent="0.25">
      <c r="A20" t="s">
        <v>6</v>
      </c>
      <c r="B20">
        <f>B19/B18</f>
        <v>0.94234198533782443</v>
      </c>
      <c r="C20">
        <f t="shared" ref="C20" si="2">C19/C18</f>
        <v>0.9885196374622357</v>
      </c>
      <c r="D20">
        <f t="shared" ref="D20" si="3">D19/D18</f>
        <v>1</v>
      </c>
      <c r="E20">
        <f t="shared" ref="E20" si="4">E19/E18</f>
        <v>0.99040620534803026</v>
      </c>
      <c r="F20">
        <f t="shared" ref="F20" si="5">F19/F18</f>
        <v>0.98024604920984193</v>
      </c>
      <c r="H20" t="s">
        <v>6</v>
      </c>
      <c r="I20">
        <f>I19/I18</f>
        <v>0.93659599762234991</v>
      </c>
      <c r="J20">
        <f t="shared" ref="J20:M20" si="6">J19/J18</f>
        <v>0.99939577039274929</v>
      </c>
      <c r="K20">
        <f t="shared" si="6"/>
        <v>1</v>
      </c>
      <c r="L20">
        <f t="shared" si="6"/>
        <v>1</v>
      </c>
      <c r="M20">
        <f t="shared" si="6"/>
        <v>0.98384676935387072</v>
      </c>
    </row>
    <row r="21" spans="1:13" x14ac:dyDescent="0.25">
      <c r="A21" t="s">
        <v>8</v>
      </c>
      <c r="B21">
        <v>5047</v>
      </c>
      <c r="C21">
        <v>4965</v>
      </c>
      <c r="D21">
        <v>5085</v>
      </c>
      <c r="E21">
        <v>4899</v>
      </c>
      <c r="F21">
        <f>SUM(B21:E21)</f>
        <v>19996</v>
      </c>
      <c r="H21" t="s">
        <v>8</v>
      </c>
      <c r="I21">
        <v>5047</v>
      </c>
      <c r="J21">
        <v>4965</v>
      </c>
      <c r="K21">
        <v>5085</v>
      </c>
      <c r="L21">
        <v>4899</v>
      </c>
      <c r="M21">
        <f>SUM(I21:L21)</f>
        <v>19996</v>
      </c>
    </row>
    <row r="22" spans="1:13" x14ac:dyDescent="0.25">
      <c r="A22" t="s">
        <v>9</v>
      </c>
      <c r="B22">
        <v>4681</v>
      </c>
      <c r="C22">
        <v>4956</v>
      </c>
      <c r="D22">
        <v>5085</v>
      </c>
      <c r="E22">
        <v>4898</v>
      </c>
      <c r="F22">
        <f>SUM(B22:E22)</f>
        <v>19620</v>
      </c>
      <c r="H22" t="s">
        <v>9</v>
      </c>
      <c r="I22">
        <v>4570</v>
      </c>
      <c r="J22">
        <v>4952</v>
      </c>
      <c r="K22">
        <v>5084</v>
      </c>
      <c r="L22">
        <v>4898</v>
      </c>
      <c r="M22">
        <f>SUM(I22:L22)</f>
        <v>19504</v>
      </c>
    </row>
    <row r="23" spans="1:13" x14ac:dyDescent="0.25">
      <c r="A23" t="s">
        <v>6</v>
      </c>
      <c r="B23">
        <f>B22/B21</f>
        <v>0.92748167228056266</v>
      </c>
      <c r="C23">
        <f t="shared" ref="C23" si="7">C22/C21</f>
        <v>0.99818731117824777</v>
      </c>
      <c r="D23">
        <f t="shared" ref="D23" si="8">D22/D21</f>
        <v>1</v>
      </c>
      <c r="E23">
        <f t="shared" ref="E23" si="9">E22/E21</f>
        <v>0.99979587670953252</v>
      </c>
      <c r="F23">
        <f t="shared" ref="F23" si="10">F22/F21</f>
        <v>0.9811962392478496</v>
      </c>
      <c r="H23" t="s">
        <v>6</v>
      </c>
      <c r="I23">
        <f>I22/I21</f>
        <v>0.90548840895581528</v>
      </c>
      <c r="J23">
        <f t="shared" ref="J23:M23" si="11">J22/J21</f>
        <v>0.99738167170191339</v>
      </c>
      <c r="K23">
        <f t="shared" si="11"/>
        <v>0.99980334316617503</v>
      </c>
      <c r="L23">
        <f t="shared" si="11"/>
        <v>0.99979587670953252</v>
      </c>
      <c r="M23">
        <f t="shared" si="11"/>
        <v>0.97539507901580313</v>
      </c>
    </row>
    <row r="25" spans="1:13" x14ac:dyDescent="0.25">
      <c r="A25" t="s">
        <v>12</v>
      </c>
      <c r="B25">
        <f>AVERAGE(B17, B20, B23)</f>
        <v>0.93137837659335576</v>
      </c>
      <c r="C25">
        <f t="shared" ref="C25:F25" si="12">AVERAGE(C17, C20, C23)</f>
        <v>0.9950990265189662</v>
      </c>
      <c r="D25">
        <f t="shared" si="12"/>
        <v>1</v>
      </c>
      <c r="E25">
        <f t="shared" si="12"/>
        <v>0.99652990406205344</v>
      </c>
      <c r="F25">
        <f t="shared" si="12"/>
        <v>0.98061278922451167</v>
      </c>
      <c r="H25" t="s">
        <v>12</v>
      </c>
      <c r="I25">
        <f>AVERAGE(I17,I20,I23)</f>
        <v>0.92285846377385905</v>
      </c>
      <c r="J25">
        <f t="shared" ref="J25:M25" si="13">AVERAGE(J17,J20,J23)</f>
        <v>0.99751594494796914</v>
      </c>
      <c r="K25">
        <f t="shared" si="13"/>
        <v>0.99993444772205831</v>
      </c>
      <c r="L25">
        <f t="shared" si="13"/>
        <v>0.99959175341906514</v>
      </c>
      <c r="M25">
        <f t="shared" si="13"/>
        <v>0.97979595919183826</v>
      </c>
    </row>
    <row r="28" spans="1:13" x14ac:dyDescent="0.25">
      <c r="B28" s="1" t="s">
        <v>15</v>
      </c>
      <c r="C28" s="1"/>
      <c r="D28" s="1"/>
      <c r="E28" s="1"/>
      <c r="F28" s="1"/>
      <c r="I28" s="1" t="s">
        <v>13</v>
      </c>
      <c r="J28" s="1"/>
      <c r="K28" s="1"/>
      <c r="L28" s="1"/>
      <c r="M28" s="1"/>
    </row>
    <row r="29" spans="1:13" x14ac:dyDescent="0.25">
      <c r="B29" t="s">
        <v>0</v>
      </c>
      <c r="C29" t="s">
        <v>1</v>
      </c>
      <c r="D29" t="s">
        <v>2</v>
      </c>
      <c r="E29" t="s">
        <v>3</v>
      </c>
      <c r="F29" t="s">
        <v>7</v>
      </c>
      <c r="I29" t="s">
        <v>0</v>
      </c>
      <c r="J29" t="s">
        <v>1</v>
      </c>
      <c r="K29" t="s">
        <v>2</v>
      </c>
      <c r="L29" t="s">
        <v>3</v>
      </c>
      <c r="M29" t="s">
        <v>7</v>
      </c>
    </row>
    <row r="30" spans="1:13" x14ac:dyDescent="0.25">
      <c r="A30" t="s">
        <v>8</v>
      </c>
      <c r="B30">
        <v>4999</v>
      </c>
      <c r="C30">
        <v>5000</v>
      </c>
      <c r="D30">
        <v>4999</v>
      </c>
      <c r="E30">
        <v>5000</v>
      </c>
      <c r="F30">
        <f>SUM(B30:E30)</f>
        <v>19998</v>
      </c>
      <c r="H30" t="s">
        <v>8</v>
      </c>
      <c r="I30">
        <v>4999</v>
      </c>
      <c r="J30">
        <v>5000</v>
      </c>
      <c r="K30">
        <v>4999</v>
      </c>
      <c r="L30">
        <v>5000</v>
      </c>
      <c r="M30">
        <f>SUM(I30:L30)</f>
        <v>19998</v>
      </c>
    </row>
    <row r="31" spans="1:13" x14ac:dyDescent="0.25">
      <c r="A31" t="s">
        <v>9</v>
      </c>
      <c r="B31">
        <v>4584</v>
      </c>
      <c r="C31">
        <v>4990</v>
      </c>
      <c r="D31">
        <v>4999</v>
      </c>
      <c r="E31">
        <v>4999</v>
      </c>
      <c r="F31">
        <f>SUM(B31:E31)</f>
        <v>19572</v>
      </c>
      <c r="H31" t="s">
        <v>9</v>
      </c>
      <c r="I31">
        <v>4575</v>
      </c>
      <c r="J31">
        <v>4987</v>
      </c>
      <c r="K31">
        <v>4999</v>
      </c>
      <c r="L31">
        <v>5000</v>
      </c>
      <c r="M31">
        <f>SUM(I31:L31)</f>
        <v>19561</v>
      </c>
    </row>
    <row r="32" spans="1:13" x14ac:dyDescent="0.25">
      <c r="A32" t="s">
        <v>6</v>
      </c>
      <c r="B32">
        <f>B31/B30</f>
        <v>0.91698339667933582</v>
      </c>
      <c r="C32">
        <f t="shared" ref="C32:E32" si="14">C31/C30</f>
        <v>0.998</v>
      </c>
      <c r="D32">
        <f t="shared" si="14"/>
        <v>1</v>
      </c>
      <c r="E32">
        <f t="shared" si="14"/>
        <v>0.99980000000000002</v>
      </c>
      <c r="F32">
        <f t="shared" ref="F32" si="15">F31/F30</f>
        <v>0.9786978697869787</v>
      </c>
      <c r="H32" t="s">
        <v>6</v>
      </c>
      <c r="I32">
        <f>I31/I30</f>
        <v>0.91518303660732148</v>
      </c>
      <c r="J32">
        <f t="shared" ref="J32:M32" si="16">J31/J30</f>
        <v>0.99739999999999995</v>
      </c>
      <c r="K32">
        <f t="shared" si="16"/>
        <v>1</v>
      </c>
      <c r="L32">
        <f t="shared" si="16"/>
        <v>1</v>
      </c>
      <c r="M32">
        <f t="shared" si="16"/>
        <v>0.97814781478147816</v>
      </c>
    </row>
    <row r="43" spans="8:13" x14ac:dyDescent="0.25">
      <c r="I43" s="1" t="s">
        <v>14</v>
      </c>
      <c r="J43" s="1"/>
      <c r="K43" s="1"/>
      <c r="L43" s="1"/>
      <c r="M43" s="1"/>
    </row>
    <row r="44" spans="8:13" x14ac:dyDescent="0.25">
      <c r="J44" t="s">
        <v>1</v>
      </c>
      <c r="K44" t="s">
        <v>2</v>
      </c>
      <c r="M44" t="s">
        <v>7</v>
      </c>
    </row>
    <row r="45" spans="8:13" x14ac:dyDescent="0.25">
      <c r="H45" t="s">
        <v>8</v>
      </c>
      <c r="J45">
        <v>10000</v>
      </c>
      <c r="K45">
        <v>9999</v>
      </c>
      <c r="M45">
        <f>SUM(I45:L45)</f>
        <v>19999</v>
      </c>
    </row>
    <row r="46" spans="8:13" x14ac:dyDescent="0.25">
      <c r="H46" t="s">
        <v>9</v>
      </c>
      <c r="J46">
        <v>164</v>
      </c>
      <c r="K46">
        <v>6058</v>
      </c>
      <c r="M46">
        <f>SUM(I46:L46)</f>
        <v>6222</v>
      </c>
    </row>
    <row r="47" spans="8:13" x14ac:dyDescent="0.25">
      <c r="H47" t="s">
        <v>6</v>
      </c>
      <c r="J47">
        <f t="shared" ref="J47:K47" si="17">J46/J45</f>
        <v>1.6400000000000001E-2</v>
      </c>
      <c r="K47">
        <f t="shared" si="17"/>
        <v>0.60586058605860582</v>
      </c>
      <c r="M47">
        <f t="shared" ref="M47" si="18">M46/M45</f>
        <v>0.31111555577778888</v>
      </c>
    </row>
    <row r="58" spans="1:48" x14ac:dyDescent="0.25">
      <c r="B58" s="1" t="s">
        <v>18</v>
      </c>
      <c r="C58" s="1"/>
      <c r="D58" s="1"/>
      <c r="E58" s="1"/>
      <c r="F58" s="1"/>
      <c r="I58" s="1" t="s">
        <v>23</v>
      </c>
      <c r="J58" s="1"/>
      <c r="K58" s="1"/>
      <c r="L58" s="1"/>
      <c r="M58" s="1"/>
      <c r="P58" s="1" t="s">
        <v>17</v>
      </c>
      <c r="Q58" s="1"/>
      <c r="R58" s="1"/>
      <c r="S58" s="1"/>
      <c r="T58" s="1"/>
      <c r="W58" s="1" t="s">
        <v>19</v>
      </c>
      <c r="X58" s="1"/>
      <c r="Y58" s="1"/>
      <c r="Z58" s="1"/>
      <c r="AA58" s="1"/>
      <c r="AD58" s="1" t="s">
        <v>20</v>
      </c>
      <c r="AE58" s="1"/>
      <c r="AF58" s="1"/>
      <c r="AG58" s="1"/>
      <c r="AH58" s="1"/>
      <c r="AK58" s="1" t="s">
        <v>24</v>
      </c>
      <c r="AL58" s="1"/>
      <c r="AM58" s="1"/>
      <c r="AN58" s="1"/>
      <c r="AO58" s="1"/>
      <c r="AR58" s="1" t="s">
        <v>21</v>
      </c>
      <c r="AS58" s="1"/>
      <c r="AT58" s="1"/>
      <c r="AU58" s="1"/>
      <c r="AV58" s="1"/>
    </row>
    <row r="59" spans="1:48" x14ac:dyDescent="0.25">
      <c r="B59" t="s">
        <v>16</v>
      </c>
      <c r="C59" t="s">
        <v>22</v>
      </c>
      <c r="F59" t="s">
        <v>7</v>
      </c>
      <c r="I59" t="s">
        <v>16</v>
      </c>
      <c r="J59" t="s">
        <v>22</v>
      </c>
      <c r="M59" t="s">
        <v>7</v>
      </c>
      <c r="P59" t="s">
        <v>16</v>
      </c>
      <c r="Q59" t="s">
        <v>22</v>
      </c>
      <c r="T59" t="s">
        <v>7</v>
      </c>
      <c r="W59" t="s">
        <v>16</v>
      </c>
      <c r="X59" t="s">
        <v>22</v>
      </c>
      <c r="AA59" t="s">
        <v>7</v>
      </c>
      <c r="AD59" t="s">
        <v>16</v>
      </c>
      <c r="AE59" t="s">
        <v>22</v>
      </c>
      <c r="AH59" t="s">
        <v>7</v>
      </c>
      <c r="AK59" t="s">
        <v>16</v>
      </c>
      <c r="AL59" t="s">
        <v>22</v>
      </c>
      <c r="AO59" t="s">
        <v>7</v>
      </c>
      <c r="AR59" t="s">
        <v>16</v>
      </c>
      <c r="AS59" t="s">
        <v>22</v>
      </c>
      <c r="AV59" t="s">
        <v>7</v>
      </c>
    </row>
    <row r="60" spans="1:48" x14ac:dyDescent="0.25">
      <c r="A60" t="s">
        <v>8</v>
      </c>
      <c r="B60">
        <v>10000</v>
      </c>
      <c r="C60">
        <v>20000</v>
      </c>
      <c r="F60">
        <f>SUM(B60:E60)</f>
        <v>30000</v>
      </c>
      <c r="H60" t="s">
        <v>8</v>
      </c>
      <c r="I60">
        <v>10000</v>
      </c>
      <c r="J60">
        <v>20000</v>
      </c>
      <c r="M60">
        <f>SUM(I60:L60)</f>
        <v>30000</v>
      </c>
      <c r="O60" t="s">
        <v>8</v>
      </c>
      <c r="P60">
        <v>10000</v>
      </c>
      <c r="Q60">
        <v>20000</v>
      </c>
      <c r="T60">
        <f>SUM(P60:S60)</f>
        <v>30000</v>
      </c>
      <c r="V60" t="s">
        <v>8</v>
      </c>
      <c r="W60">
        <v>10000</v>
      </c>
      <c r="X60">
        <v>20000</v>
      </c>
      <c r="AA60">
        <f>SUM(W60:Z60)</f>
        <v>30000</v>
      </c>
      <c r="AC60" t="s">
        <v>8</v>
      </c>
      <c r="AD60">
        <v>10000</v>
      </c>
      <c r="AE60">
        <v>20000</v>
      </c>
      <c r="AH60">
        <f>SUM(AD60:AG60)</f>
        <v>30000</v>
      </c>
      <c r="AJ60" t="s">
        <v>8</v>
      </c>
      <c r="AK60">
        <v>10000</v>
      </c>
      <c r="AL60">
        <v>20000</v>
      </c>
      <c r="AO60">
        <f>SUM(AK60:AN60)</f>
        <v>30000</v>
      </c>
      <c r="AQ60" t="s">
        <v>8</v>
      </c>
      <c r="AR60">
        <v>10000</v>
      </c>
      <c r="AS60">
        <v>20000</v>
      </c>
      <c r="AV60">
        <f>SUM(AR60:AU60)</f>
        <v>30000</v>
      </c>
    </row>
    <row r="61" spans="1:48" x14ac:dyDescent="0.25">
      <c r="A61" t="s">
        <v>9</v>
      </c>
      <c r="B61">
        <v>6382</v>
      </c>
      <c r="C61">
        <v>15282</v>
      </c>
      <c r="F61">
        <f>SUM(B61:E61)</f>
        <v>21664</v>
      </c>
      <c r="H61" t="s">
        <v>9</v>
      </c>
      <c r="I61">
        <v>5745</v>
      </c>
      <c r="J61">
        <v>16036</v>
      </c>
      <c r="M61">
        <f>SUM(I61:L61)</f>
        <v>21781</v>
      </c>
      <c r="O61" t="s">
        <v>9</v>
      </c>
      <c r="P61">
        <v>5744</v>
      </c>
      <c r="Q61">
        <v>16067</v>
      </c>
      <c r="T61">
        <f>SUM(P61:S61)</f>
        <v>21811</v>
      </c>
      <c r="V61" t="s">
        <v>9</v>
      </c>
      <c r="W61">
        <v>5520</v>
      </c>
      <c r="X61">
        <v>16360</v>
      </c>
      <c r="AA61">
        <f>SUM(W61:Z61)</f>
        <v>21880</v>
      </c>
      <c r="AC61" t="s">
        <v>9</v>
      </c>
      <c r="AD61">
        <v>5428</v>
      </c>
      <c r="AE61">
        <v>16104</v>
      </c>
      <c r="AH61">
        <f>SUM(AD61:AG61)</f>
        <v>21532</v>
      </c>
      <c r="AJ61" t="s">
        <v>9</v>
      </c>
      <c r="AK61">
        <v>5379</v>
      </c>
      <c r="AL61">
        <v>16311</v>
      </c>
      <c r="AO61">
        <f>SUM(AK61:AN61)</f>
        <v>21690</v>
      </c>
      <c r="AQ61" t="s">
        <v>9</v>
      </c>
      <c r="AR61">
        <v>4566</v>
      </c>
      <c r="AS61">
        <v>16111</v>
      </c>
      <c r="AV61">
        <f>SUM(AR61:AU61)</f>
        <v>20677</v>
      </c>
    </row>
    <row r="62" spans="1:48" x14ac:dyDescent="0.25">
      <c r="A62" t="s">
        <v>6</v>
      </c>
      <c r="B62">
        <f t="shared" ref="B62" si="19">B61/B60</f>
        <v>0.63819999999999999</v>
      </c>
      <c r="C62">
        <f>C61/C60</f>
        <v>0.7641</v>
      </c>
      <c r="F62">
        <f t="shared" ref="F62" si="20">F61/F60</f>
        <v>0.72213333333333329</v>
      </c>
      <c r="H62" t="s">
        <v>6</v>
      </c>
      <c r="I62">
        <f>I61/I60</f>
        <v>0.57450000000000001</v>
      </c>
      <c r="J62">
        <f>J61/J60</f>
        <v>0.80179999999999996</v>
      </c>
      <c r="M62">
        <f t="shared" ref="M62" si="21">M61/M60</f>
        <v>0.72603333333333331</v>
      </c>
      <c r="O62" t="s">
        <v>6</v>
      </c>
      <c r="P62">
        <f t="shared" ref="P62" si="22">P61/P60</f>
        <v>0.57440000000000002</v>
      </c>
      <c r="Q62">
        <f>Q61/Q60</f>
        <v>0.80335000000000001</v>
      </c>
      <c r="T62">
        <f t="shared" ref="T62" si="23">T61/T60</f>
        <v>0.72703333333333331</v>
      </c>
      <c r="V62" t="s">
        <v>6</v>
      </c>
      <c r="W62">
        <f t="shared" ref="W62" si="24">W61/W60</f>
        <v>0.55200000000000005</v>
      </c>
      <c r="X62">
        <f>X61/X60</f>
        <v>0.81799999999999995</v>
      </c>
      <c r="AA62">
        <f t="shared" ref="AA62" si="25">AA61/AA60</f>
        <v>0.72933333333333328</v>
      </c>
      <c r="AC62" t="s">
        <v>6</v>
      </c>
      <c r="AD62">
        <f t="shared" ref="AD62" si="26">AD61/AD60</f>
        <v>0.54279999999999995</v>
      </c>
      <c r="AE62">
        <f>AE61/AE60</f>
        <v>0.80520000000000003</v>
      </c>
      <c r="AH62">
        <f t="shared" ref="AH62" si="27">AH61/AH60</f>
        <v>0.71773333333333333</v>
      </c>
      <c r="AJ62" t="s">
        <v>6</v>
      </c>
      <c r="AK62">
        <f t="shared" ref="AK62" si="28">AK61/AK60</f>
        <v>0.53790000000000004</v>
      </c>
      <c r="AL62">
        <f>AL61/AL60</f>
        <v>0.81555</v>
      </c>
      <c r="AO62">
        <f t="shared" ref="AO62" si="29">AO61/AO60</f>
        <v>0.72299999999999998</v>
      </c>
      <c r="AQ62" t="s">
        <v>6</v>
      </c>
      <c r="AR62">
        <f t="shared" ref="AR62" si="30">AR61/AR60</f>
        <v>0.45660000000000001</v>
      </c>
      <c r="AS62">
        <f>AS61/AS60</f>
        <v>0.80554999999999999</v>
      </c>
      <c r="AV62">
        <f t="shared" ref="AV62" si="31">AV61/AV60</f>
        <v>0.68923333333333336</v>
      </c>
    </row>
  </sheetData>
  <mergeCells count="14">
    <mergeCell ref="P13:T13"/>
    <mergeCell ref="P58:T58"/>
    <mergeCell ref="B58:F58"/>
    <mergeCell ref="B1:F1"/>
    <mergeCell ref="I13:M13"/>
    <mergeCell ref="B13:F13"/>
    <mergeCell ref="I28:M28"/>
    <mergeCell ref="I43:M43"/>
    <mergeCell ref="B28:F28"/>
    <mergeCell ref="W58:AA58"/>
    <mergeCell ref="AD58:AH58"/>
    <mergeCell ref="AR58:AV58"/>
    <mergeCell ref="AK58:AO58"/>
    <mergeCell ref="I58:M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柏瑋 賴</dc:creator>
  <cp:lastModifiedBy>柏瑋 賴</cp:lastModifiedBy>
  <dcterms:created xsi:type="dcterms:W3CDTF">2026-03-15T13:49:24Z</dcterms:created>
  <dcterms:modified xsi:type="dcterms:W3CDTF">2026-04-30T12:28:47Z</dcterms:modified>
</cp:coreProperties>
</file>